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e70fd04f4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a21e4b55324af9"/>
    <x:sheet xmlns:r="http://schemas.openxmlformats.org/officeDocument/2006/relationships" name="Expected Check" sheetId="2" r:id="Rf615787f2123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F306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8bcf4ff3943bb" /><Relationship Type="http://schemas.openxmlformats.org/officeDocument/2006/relationships/theme" Target="/xl/theme/theme1.xml" Id="R678c61d5d40345b0" /><Relationship Type="http://schemas.openxmlformats.org/officeDocument/2006/relationships/sharedStrings" Target="/xl/sharedStrings.xml" Id="R14ddda3aa6674d62" /><Relationship Type="http://schemas.openxmlformats.org/officeDocument/2006/relationships/worksheet" Target="/xl/worksheets/sheet1.xml" Id="Rd5a21e4b55324af9" /><Relationship Type="http://schemas.openxmlformats.org/officeDocument/2006/relationships/worksheet" Target="/xl/worksheets/sheet2.xml" Id="Rf615787f2123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0.5" hidden="0" customWidth="1"/>
    <x:col min="3" max="3" width="13.880000114440918" hidden="0" customWidth="1"/>
    <x:col min="4" max="4" width="19.3799991607666" hidden="0" customWidth="1"/>
    <x:col min="5" max="5" width="10.25" hidden="0" customWidth="1"/>
    <x:col min="6" max="6" width="11.75" hidden="0" customWidth="1"/>
    <x:col min="7" max="7" width="12.25" hidden="0" customWidth="1"/>
    <x:col min="8" max="8" width="4.130000114440918" hidden="0" customWidth="1"/>
    <x:col min="9" max="9" width="11.25" hidden="0" customWidth="1"/>
    <x:col min="10" max="10" width="11.380000114440918" hidden="0" customWidth="1"/>
    <x:col min="11" max="11" width="10.130000114440918" hidden="0" customWidth="1"/>
    <x:col min="12" max="12" width="7.130000114440918" hidden="0" customWidth="1"/>
    <x:col min="13" max="13" width="8" hidden="0" customWidth="1"/>
    <x:col min="14" max="14" width="21.75" hidden="0" customWidth="1"/>
    <x:col min="15" max="15" width="14.130000114440918" hidden="0" customWidth="1"/>
    <x:col min="16" max="16" width="8.880000114440918" hidden="0" customWidth="1"/>
    <x:col min="17" max="17" width="11.880000114440918" hidden="0" customWidth="1"/>
    <x:col min="18" max="18" width="13.5" hidden="0" customWidth="1"/>
    <x:col min="19" max="19" width="10.5" hidden="0" customWidth="1"/>
    <x:col min="20" max="20" width="12.880000114440918" hidden="0" customWidth="1"/>
    <x:col min="21" max="21" width="5.380000114440918" hidden="0" customWidth="1"/>
    <x:col min="22" max="22" width="11.380000114440918" hidden="0" customWidth="1"/>
    <x:col min="23" max="23" width="24.6299991607666" hidden="0" customWidth="1"/>
    <x:col min="24" max="24" width="18.5" hidden="0" customWidth="1"/>
    <x:col min="25" max="25" width="17.25" hidden="0" customWidth="1"/>
    <x:col min="26" max="26" width="12.630000114440918" hidden="0" customWidth="1"/>
    <x:col min="27" max="27" width="12" hidden="0" customWidth="1"/>
    <x:col min="28" max="28" width="9.880000114440918" hidden="0" customWidth="1"/>
    <x:col min="29" max="29" width="6.380000114440918" hidden="0" customWidth="1"/>
    <x:col min="30" max="30" width="10.880000114440918" hidden="0" customWidth="1"/>
    <x:col min="31" max="31" width="10" hidden="0" customWidth="1"/>
    <x:col min="32" max="32" width="14.75" hidden="0" customWidth="1"/>
    <x:col min="33" max="33" width="13.380000114440918" hidden="0" customWidth="1"/>
    <x:col min="34" max="34" width="11" hidden="0" customWidth="1"/>
    <x:col min="35" max="35" width="12.380000114440918" hidden="0" customWidth="1"/>
    <x:col min="36" max="36" width="8.130000114440918" hidden="0" customWidth="1"/>
    <x:col min="37" max="37" width="80.37999725341797" hidden="0" customWidth="1"/>
  </x:cols>
  <x:sheetData>
    <x:row r="1" ht="15" hidden="0" customHeight="1">
      <x:c r="A1" s="5" t="str">
        <x:v>Periode Bulan</x:v>
      </x:c>
      <x:c r="B1" s="5" t="str">
        <x:v>Periode Tahun</x:v>
      </x:c>
      <x:c r="C1" s="5" t="str">
        <x:v>Jenis Penerima</x:v>
      </x:c>
      <x:c r="D1" s="5" t="str">
        <x:v>Nama</x:v>
      </x:c>
      <x:c r="E1" s="5" t="str">
        <x:v>NIK</x:v>
      </x:c>
      <x:c r="F1" s="5" t="str">
        <x:v>Counterpart TIN</x:v>
      </x:c>
      <x:c r="G1" s="5" t="str">
        <x:v>ID TKU Penerima</x:v>
      </x:c>
      <x:c r="H1" s="5" t="str">
        <x:v>PTKP</x:v>
      </x:c>
      <x:c r="I1" s="5" t="str">
        <x:v>Resident Status</x:v>
      </x:c>
      <x:c r="J1" s="5" t="str">
        <x:v>Status Identitas</x:v>
      </x:c>
      <x:c r="K1" s="5" t="str">
        <x:v>Metode Pajak</x:v>
      </x:c>
      <x:c r="L1" s="5" t="str">
        <x:v>Bln Mulai</x:v>
      </x:c>
      <x:c r="M1" s="5" t="str">
        <x:v>Bln Selesai</x:v>
      </x:c>
      <x:c r="N1" s="5" t="str">
        <x:v>Subjek Pajak Sejak Awal Tahun</x:v>
      </x:c>
      <x:c r="O1" s="5" t="str">
        <x:v>Tanggal Mulai Kerja</x:v>
      </x:c>
      <x:c r="P1" s="5" t="str">
        <x:v>Gaji Pokok</x:v>
      </x:c>
      <x:c r="Q1" s="5" t="str">
        <x:v>Tunjangan Tetap</x:v>
      </x:c>
      <x:c r="R1" s="5" t="str">
        <x:v>Tunjangan Jabatan</x:v>
      </x:c>
      <x:c r="S1" s="5" t="str">
        <x:v>Tunj Transport</x:v>
      </x:c>
      <x:c r="T1" s="5" t="str">
        <x:v>Tunjangan Makan</x:v>
      </x:c>
      <x:c r="U1" s="5" t="str">
        <x:v>Natura</x:v>
      </x:c>
      <x:c r="V1" s="5" t="str">
        <x:v>DPLK Karyawan</x:v>
      </x:c>
      <x:c r="W1" s="5" t="str">
        <x:v>Premi Asuransi Swasta Perusahaan</x:v>
      </x:c>
      <x:c r="X1" s="5" t="str">
        <x:v>Iuran Pensiun Perusahaan</x:v>
      </x:c>
      <x:c r="Y1" s="5" t="str">
        <x:v>Iuran Pensiun Karyawan</x:v>
      </x:c>
      <x:c r="Z1" s="5" t="str">
        <x:v>DPLK Perusahaan</x:v>
      </x:c>
      <x:c r="AA1" s="5" t="str">
        <x:v>Dasar Upah BPJS</x:v>
      </x:c>
      <x:c r="AB1" s="5" t="str">
        <x:v>Bruto</x:v>
      </x:c>
      <x:c r="AC1" s="5" t="str">
        <x:v>Deemed</x:v>
      </x:c>
      <x:c r="AD1" s="5" t="str">
        <x:v>TaxObjectCode</x:v>
      </x:c>
      <x:c r="AE1" s="5" t="str">
        <x:v>TaxCertificate</x:v>
      </x:c>
      <x:c r="AF1" s="5" t="str">
        <x:v>Document</x:v>
      </x:c>
      <x:c r="AG1" s="5" t="str">
        <x:v>DocumentNumber</x:v>
      </x:c>
      <x:c r="AH1" s="5" t="str">
        <x:v>DocumentDate</x:v>
      </x:c>
      <x:c r="AI1" s="5" t="str">
        <x:v>WithholdingDate</x:v>
      </x:c>
      <x:c r="AJ1" s="5" t="str">
        <x:v>Jabatan</x:v>
      </x:c>
      <x:c r="AK1" s="5" t="str">
        <x:v>Catatan</x:v>
      </x:c>
    </x:row>
    <x:row r="2" ht="15" hidden="0" customHeight="1">
      <x:c r="A2" t="n">
        <x:v>10</x:v>
      </x:c>
      <x:c r="B2" t="n">
        <x:v>2026</x:v>
      </x:c>
      <x:c r="C2" t="str">
        <x:v>PEGAWAI_TETAP</x:v>
      </x:c>
      <x:c r="D2" t="str">
        <x:v>Budi</x:v>
      </x:c>
      <x:c r="E2" t="str">
        <x:v>3275010000000001</x:v>
      </x:c>
      <x:c r="F2" t="str">
        <x:v>3275010000000001</x:v>
      </x:c>
      <x:c r="G2" t="str"/>
      <x:c r="H2" t="str">
        <x:v>K/0</x:v>
      </x:c>
      <x:c r="I2" t="str">
        <x:v>RESIDENT</x:v>
      </x:c>
      <x:c r="J2" t="str">
        <x:v>NPWP</x:v>
      </x:c>
      <x:c r="K2" t="str">
        <x:v>GROSS</x:v>
      </x:c>
      <x:c r="L2" t="n">
        <x:v>1</x:v>
      </x:c>
      <x:c r="M2" t="n">
        <x:v>12</x:v>
      </x:c>
      <x:c r="N2" t="str">
        <x:v>YA</x:v>
      </x:c>
      <x:c r="O2" s="7" t="str">
        <x:v>2026-01-01</x:v>
      </x:c>
      <x:c r="P2" s="6" t="n">
        <x:v>10000000</x:v>
      </x:c>
      <x:c r="Q2" s="6" t="n">
        <x:v>20000000</x:v>
      </x:c>
      <x:c r="R2" s="6" t="n">
        <x:v>0</x:v>
      </x:c>
      <x:c r="S2" s="6" t="n">
        <x:v>0</x:v>
      </x:c>
      <x:c r="T2" s="6" t="n">
        <x:v>0</x:v>
      </x:c>
      <x:c r="U2" s="6" t="n">
        <x:v>0</x:v>
      </x:c>
      <x:c r="V2" s="6" t="n">
        <x:v>0</x:v>
      </x:c>
      <x:c r="W2" s="6" t="n">
        <x:v>0</x:v>
      </x:c>
      <x:c r="X2" s="6" t="n">
        <x:v>0</x:v>
      </x:c>
      <x:c r="Y2" s="6" t="n">
        <x:v>0</x:v>
      </x:c>
      <x:c r="Z2" s="6" t="n">
        <x:v>0</x:v>
      </x:c>
      <x:c r="AA2" s="6" t="n">
        <x:v>30000000</x:v>
      </x:c>
      <x:c r="AB2" s="6" t="n">
        <x:v>30000000</x:v>
      </x:c>
      <x:c r="AC2" s="6" t="str"/>
      <x:c r="AD2" t="str"/>
      <x:c r="AE2" t="str">
        <x:v>N/A</x:v>
      </x:c>
      <x:c r="AF2" t="str"/>
      <x:c r="AG2" t="str"/>
      <x:c r="AH2" s="7" t="str"/>
      <x:c r="AI2" s="7" t="str"/>
      <x:c r="AJ2" t="str">
        <x:v>Staff</x:v>
      </x:c>
      <x:c r="AK2" t="str">
        <x:v>Pegawai tetap dari input pertama.xlsx; total cash 30 juta.</x:v>
      </x:c>
    </x:row>
    <x:row r="3" ht="15" hidden="0" customHeight="1">
      <x:c r="A3" t="n">
        <x:v>10</x:v>
      </x:c>
      <x:c r="B3" t="n">
        <x:v>2026</x:v>
      </x:c>
      <x:c r="C3" t="str">
        <x:v>PEGAWAI_TETAP</x:v>
      </x:c>
      <x:c r="D3" t="str">
        <x:v>Sari Masuk Tengah Tahun</x:v>
      </x:c>
      <x:c r="E3" t="str">
        <x:v>3275010000000002</x:v>
      </x:c>
      <x:c r="F3" t="str">
        <x:v>3275010000000002</x:v>
      </x:c>
      <x:c r="G3" t="str"/>
      <x:c r="H3" t="str">
        <x:v>TK/0</x:v>
      </x:c>
      <x:c r="I3" t="str">
        <x:v>RESIDENT</x:v>
      </x:c>
      <x:c r="J3" t="str">
        <x:v>NPWP</x:v>
      </x:c>
      <x:c r="K3" t="str">
        <x:v>GROSS</x:v>
      </x:c>
      <x:c r="L3" t="n">
        <x:v>7</x:v>
      </x:c>
      <x:c r="M3" t="n">
        <x:v>12</x:v>
      </x:c>
      <x:c r="N3" t="str">
        <x:v>TIDAK</x:v>
      </x:c>
      <x:c r="O3" s="7" t="str">
        <x:v>2026-07-15</x:v>
      </x:c>
      <x:c r="P3" s="6" t="n">
        <x:v>8000000</x:v>
      </x:c>
      <x:c r="Q3" s="6" t="n">
        <x:v>2000000</x:v>
      </x:c>
      <x:c r="R3" s="6" t="n">
        <x:v>0</x:v>
      </x:c>
      <x:c r="S3" s="6" t="n">
        <x:v>0</x:v>
      </x:c>
      <x:c r="T3" s="6" t="n">
        <x:v>0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  <x:c r="AA3" s="6" t="n">
        <x:v>10000000</x:v>
      </x:c>
      <x:c r="AB3" s="6" t="n">
        <x:v>10000000</x:v>
      </x:c>
      <x:c r="AC3" s="6" t="str"/>
      <x:c r="AD3" t="str"/>
      <x:c r="AE3" t="str">
        <x:v>N/A</x:v>
      </x:c>
      <x:c r="AF3" t="str"/>
      <x:c r="AG3" t="str"/>
      <x:c r="AH3" s="7" t="str"/>
      <x:c r="AI3" s="7" t="str"/>
      <x:c r="AJ3" t="str">
        <x:v>Staff</x:v>
      </x:c>
      <x:c r="AK3" t="str">
        <x:v>Contoh pegawai mulai pertengahan tahun; nominal bulan berjalan diasumsikan sudah sesuai payroll aktual.</x:v>
      </x:c>
    </x:row>
    <x:row r="4" ht="15" hidden="0" customHeight="1">
      <x:c r="A4" t="n">
        <x:v>10</x:v>
      </x:c>
      <x:c r="B4" t="n">
        <x:v>2026</x:v>
      </x:c>
      <x:c r="C4" t="str">
        <x:v>BUKAN_PEGAWAI</x:v>
      </x:c>
      <x:c r="D4" t="str">
        <x:v>Tuan U</x:v>
      </x:c>
      <x:c r="E4" t="str">
        <x:v>3173060101700001</x:v>
      </x:c>
      <x:c r="F4" t="str">
        <x:v>3173060101700001</x:v>
      </x:c>
      <x:c r="G4" t="str">
        <x:v>3173060101700001000000</x:v>
      </x:c>
      <x:c r="H4" t="str">
        <x:v>TK/0</x:v>
      </x:c>
      <x:c r="I4" t="str">
        <x:v>RESIDENT</x:v>
      </x:c>
      <x:c r="J4" t="str">
        <x:v>NPWP</x:v>
      </x:c>
      <x:c r="K4" t="str">
        <x:v>GROSS</x:v>
      </x:c>
      <x:c r="L4" t="n">
        <x:v>10</x:v>
      </x:c>
      <x:c r="M4" t="n">
        <x:v>10</x:v>
      </x:c>
      <x:c r="N4" t="str">
        <x:v>YA</x:v>
      </x:c>
      <x:c r="O4" s="7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n">
        <x:v>400000000</x:v>
      </x:c>
      <x:c r="AC4" s="6" t="n">
        <x:v>50</x:v>
      </x:c>
      <x:c r="AD4" t="str">
        <x:v>21-100-34</x:v>
      </x:c>
      <x:c r="AE4" t="str">
        <x:v>N/A</x:v>
      </x:c>
      <x:c r="AF4" t="str">
        <x:v>CommercialInvoice</x:v>
      </x:c>
      <x:c r="AG4" t="str">
        <x:v>INV-TUAN-U-001</x:v>
      </x:c>
      <x:c r="AH4" s="7" t="str">
        <x:v>2026-10-15</x:v>
      </x:c>
      <x:c r="AI4" s="7" t="str">
        <x:v>2026-10-25</x:v>
      </x:c>
      <x:c r="AJ4" t="str">
        <x:v>Pengacara</x:v>
      </x:c>
      <x:c r="AK4" t="str">
        <x:v>Expected PPh 21 bukan pegawai: 24 juta.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3.880000114440918" hidden="0" customWidth="1"/>
    <x:col min="3" max="3" width="9.880000114440918" hidden="0" customWidth="1"/>
    <x:col min="4" max="4" width="8" hidden="0" customWidth="1"/>
    <x:col min="5" max="5" width="9.880000114440918" hidden="0" customWidth="1"/>
    <x:col min="6" max="6" width="9.880000114440918" hidden="0" customWidth="1"/>
    <x:col min="7" max="7" width="57.380001068115234" hidden="0" customWidth="1"/>
  </x:cols>
  <x:sheetData>
    <x:row r="1" ht="15" hidden="0" customHeight="1">
      <x:c r="A1" s="5" t="str">
        <x:v>Skenario</x:v>
      </x:c>
      <x:c r="B1" s="5" t="str">
        <x:v>Jenis Penerima</x:v>
      </x:c>
      <x:c r="C1" s="5" t="str">
        <x:v>Bruto</x:v>
      </x:c>
      <x:c r="D1" s="5" t="str">
        <x:v>Deemed %</x:v>
      </x:c>
      <x:c r="E1" s="5" t="str">
        <x:v>DPP</x:v>
      </x:c>
      <x:c r="F1" s="5" t="str">
        <x:v>PPh Expected</x:v>
      </x:c>
      <x:c r="G1" s="5" t="str">
        <x:v>Catatan</x:v>
      </x:c>
    </x:row>
    <x:row r="2" ht="15" hidden="0" customHeight="1">
      <x:c r="A2" t="str">
        <x:v>Budi</x:v>
      </x:c>
      <x:c r="B2" t="str">
        <x:v>PEGAWAI_TETAP</x:v>
      </x:c>
      <x:c r="C2" s="6" t="n">
        <x:v>30000000</x:v>
      </x:c>
      <x:c r="D2" s="6" t="str"/>
      <x:c r="E2" s="6" t="str"/>
      <x:c r="F2" s="6" t="str"/>
      <x:c r="G2" t="str">
        <x:v>Ekspektasi mengikuti engine pegawai tetap/TER web.</x:v>
      </x:c>
    </x:row>
    <x:row r="3" ht="15" hidden="0" customHeight="1">
      <x:c r="A3" t="str">
        <x:v>Sari Masuk Tengah Tahun</x:v>
      </x:c>
      <x:c r="B3" t="str">
        <x:v>PEGAWAI_TETAP</x:v>
      </x:c>
      <x:c r="C3" s="6" t="n">
        <x:v>10000000</x:v>
      </x:c>
      <x:c r="D3" s="6" t="str"/>
      <x:c r="E3" s="6" t="str"/>
      <x:c r="F3" s="6" t="str"/>
      <x:c r="G3" t="str">
        <x:v>Bln Mulai 7 dan Subjek Pajak Awal Tahun TIDAK untuk annualization context.</x:v>
      </x:c>
    </x:row>
    <x:row r="4" ht="15" hidden="0" customHeight="1">
      <x:c r="A4" t="str">
        <x:v>Tuan U</x:v>
      </x:c>
      <x:c r="B4" t="str">
        <x:v>BUKAN_PEGAWAI</x:v>
      </x:c>
      <x:c r="C4" s="6" t="n">
        <x:v>400000000</x:v>
      </x:c>
      <x:c r="D4" s="6" t="n">
        <x:v>50</x:v>
      </x:c>
      <x:c r="E4" s="6" t="n">
        <x:f>C4*D4/100</x:f>
        <x:v>200000000</x:v>
      </x:c>
      <x:c r="F4" s="6" t="n">
        <x:f>MIN(E4,60000000)*5%+MAX(MIN(E4-60000000,190000000),0)*15%+MAX(MIN(E4-250000000,250000000),0)*25%+MAX(MIN(E4-500000000,4500000000),0)*30%+MAX(E4-5000000000,0)*35%</x:f>
        <x:v>24000000</x:v>
      </x:c>
      <x:c r="G4" t="str">
        <x:v>Harus tampil PPh 21 Rp24.000.000 di web.</x:v>
      </x:c>
    </x:row>
  </x:sheetData>
  <x:pageMargins left="0.7" right="0.7" top="0.75" bottom="0.75" header="0.3" footer="0.3"/>
</x:worksheet>
</file>